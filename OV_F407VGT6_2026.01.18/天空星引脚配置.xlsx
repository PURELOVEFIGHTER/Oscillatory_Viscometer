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Oscillatory_Viscometer\OV_F407VGT6_2026.01.18\"/>
    </mc:Choice>
  </mc:AlternateContent>
  <xr:revisionPtr revIDLastSave="0" documentId="13_ncr:1_{23C0AD97-711F-4E47-99F6-D13DB1C838AD}" xr6:coauthVersionLast="47" xr6:coauthVersionMax="47" xr10:uidLastSave="{00000000-0000-0000-0000-000000000000}"/>
  <bookViews>
    <workbookView xWindow="-28920" yWindow="-105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2" i="1"/>
  <c r="J2" i="1"/>
  <c r="M3" i="1"/>
  <c r="N3" i="1" s="1"/>
  <c r="M4" i="1"/>
  <c r="N4" i="1" s="1"/>
  <c r="M5" i="1"/>
  <c r="N5" i="1" s="1"/>
  <c r="M6" i="1"/>
  <c r="M7" i="1"/>
  <c r="M8" i="1"/>
  <c r="M9" i="1"/>
  <c r="M10" i="1"/>
  <c r="M11" i="1"/>
  <c r="M12" i="1"/>
  <c r="M13" i="1"/>
  <c r="M14" i="1"/>
  <c r="M15" i="1"/>
  <c r="M2" i="1"/>
  <c r="I2" i="1"/>
  <c r="J6" i="1"/>
  <c r="J7" i="1"/>
  <c r="J8" i="1"/>
  <c r="J9" i="1"/>
  <c r="J10" i="1"/>
  <c r="J11" i="1"/>
  <c r="J12" i="1"/>
  <c r="J13" i="1"/>
  <c r="J14" i="1"/>
  <c r="J15" i="1"/>
  <c r="J3" i="1"/>
  <c r="J4" i="1"/>
  <c r="J5" i="1"/>
  <c r="I3" i="1"/>
  <c r="I4" i="1"/>
  <c r="I5" i="1"/>
  <c r="I6" i="1"/>
  <c r="I7" i="1"/>
  <c r="I8" i="1"/>
  <c r="I9" i="1"/>
  <c r="I10" i="1"/>
  <c r="I11" i="1"/>
  <c r="I12" i="1"/>
  <c r="I13" i="1"/>
  <c r="I14" i="1"/>
  <c r="I15" i="1"/>
</calcChain>
</file>

<file path=xl/sharedStrings.xml><?xml version="1.0" encoding="utf-8"?>
<sst xmlns="http://schemas.openxmlformats.org/spreadsheetml/2006/main" count="77" uniqueCount="74">
  <si>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</si>
  <si>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</si>
  <si>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</si>
  <si>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</si>
  <si>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KEY</t>
    <phoneticPr fontId="1" type="noConversion"/>
  </si>
  <si>
    <t>PORT</t>
    <phoneticPr fontId="1" type="noConversion"/>
  </si>
  <si>
    <t>PIN</t>
    <phoneticPr fontId="1" type="noConversion"/>
  </si>
  <si>
    <t>ON_BOARD</t>
    <phoneticPr fontId="1" type="noConversion"/>
  </si>
  <si>
    <t>E</t>
    <phoneticPr fontId="1" type="noConversion"/>
  </si>
  <si>
    <t>PRIVATE</t>
    <phoneticPr fontId="1" type="noConversion"/>
  </si>
  <si>
    <t>H</t>
    <phoneticPr fontId="1" type="noConversion"/>
  </si>
  <si>
    <t>HSE_IN</t>
    <phoneticPr fontId="1" type="noConversion"/>
  </si>
  <si>
    <t>HSE_OUT</t>
    <phoneticPr fontId="1" type="noConversion"/>
  </si>
  <si>
    <t>LSE_IN</t>
    <phoneticPr fontId="1" type="noConversion"/>
  </si>
  <si>
    <t>LSE_OUT</t>
    <phoneticPr fontId="1" type="noConversion"/>
  </si>
  <si>
    <t>U1_TX</t>
    <phoneticPr fontId="1" type="noConversion"/>
  </si>
  <si>
    <t>U1_RX</t>
    <phoneticPr fontId="1" type="noConversion"/>
  </si>
  <si>
    <t>USB_FS_N</t>
    <phoneticPr fontId="1" type="noConversion"/>
  </si>
  <si>
    <t>USB_FS_P</t>
    <phoneticPr fontId="1" type="noConversion"/>
  </si>
  <si>
    <t>SWDIO</t>
    <phoneticPr fontId="1" type="noConversion"/>
  </si>
  <si>
    <t>SWCLK</t>
    <phoneticPr fontId="1" type="noConversion"/>
  </si>
  <si>
    <t>SWO</t>
    <phoneticPr fontId="1" type="noConversion"/>
  </si>
  <si>
    <t>SPI_Flash_CS</t>
    <phoneticPr fontId="1" type="noConversion"/>
  </si>
  <si>
    <t>SPI_Flash_CLK</t>
    <phoneticPr fontId="1" type="noConversion"/>
  </si>
  <si>
    <t>SPI_Flash_MISO</t>
    <phoneticPr fontId="1" type="noConversion"/>
  </si>
  <si>
    <t>SPI_Flash_MOSI</t>
    <phoneticPr fontId="1" type="noConversion"/>
  </si>
  <si>
    <t>SDIO_TF_D0</t>
    <phoneticPr fontId="1" type="noConversion"/>
  </si>
  <si>
    <t>SDIO_TF_CLK</t>
    <phoneticPr fontId="1" type="noConversion"/>
  </si>
  <si>
    <t>SDIO_TF_CMD</t>
    <phoneticPr fontId="1" type="noConversion"/>
  </si>
  <si>
    <t>SD_CARD_DET</t>
    <phoneticPr fontId="1" type="noConversion"/>
  </si>
  <si>
    <t>SDIO_TF_D1</t>
    <phoneticPr fontId="1" type="noConversion"/>
  </si>
  <si>
    <t>SDIO_TF_D2</t>
    <phoneticPr fontId="1" type="noConversion"/>
  </si>
  <si>
    <t>SDIO_TF_D3</t>
    <phoneticPr fontId="1" type="noConversion"/>
  </si>
  <si>
    <t>LED3</t>
    <phoneticPr fontId="1" type="noConversion"/>
  </si>
  <si>
    <t>KEY2</t>
    <phoneticPr fontId="1" type="noConversion"/>
  </si>
  <si>
    <t>SPI2_LDC_CS</t>
    <phoneticPr fontId="1" type="noConversion"/>
  </si>
  <si>
    <t>I2C1_SCK</t>
    <phoneticPr fontId="1" type="noConversion"/>
  </si>
  <si>
    <t>I2C1_SDA</t>
    <phoneticPr fontId="1" type="noConversion"/>
  </si>
  <si>
    <t>SPI2_LDC_SCK</t>
    <phoneticPr fontId="1" type="noConversion"/>
  </si>
  <si>
    <t>SPI2_LDC_MISO</t>
    <phoneticPr fontId="1" type="noConversion"/>
  </si>
  <si>
    <t>SPI2_LDC_MOSI</t>
    <phoneticPr fontId="1" type="noConversion"/>
  </si>
  <si>
    <t>U3_TX</t>
    <phoneticPr fontId="1" type="noConversion"/>
  </si>
  <si>
    <t>U3_RX</t>
    <phoneticPr fontId="1" type="noConversion"/>
  </si>
  <si>
    <t>U2_TX</t>
    <phoneticPr fontId="1" type="noConversion"/>
  </si>
  <si>
    <t>U2_RX</t>
    <phoneticPr fontId="1" type="noConversion"/>
  </si>
  <si>
    <t>DRV_STBY</t>
    <phoneticPr fontId="1" type="noConversion"/>
  </si>
  <si>
    <t>BOOT1/LED2</t>
    <phoneticPr fontId="1" type="noConversion"/>
  </si>
  <si>
    <t>TIM2_CH1</t>
    <phoneticPr fontId="1" type="noConversion"/>
  </si>
  <si>
    <t>TIM2_CH2</t>
    <phoneticPr fontId="1" type="noConversion"/>
  </si>
  <si>
    <t>TIM1</t>
    <phoneticPr fontId="1" type="noConversion"/>
  </si>
  <si>
    <t>TIM2</t>
    <phoneticPr fontId="1" type="noConversion"/>
  </si>
  <si>
    <t>TIM3</t>
    <phoneticPr fontId="1" type="noConversion"/>
  </si>
  <si>
    <t>TIM4</t>
    <phoneticPr fontId="1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</si>
  <si>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</si>
  <si>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</si>
  <si>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</si>
  <si>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</si>
  <si>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</si>
  <si>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</si>
  <si>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</si>
  <si>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</si>
  <si>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</si>
  <si>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</si>
  <si>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Prescaler</t>
    <phoneticPr fontId="1" type="noConversion"/>
  </si>
  <si>
    <t>Counter Period</t>
    <phoneticPr fontId="1" type="noConversion"/>
  </si>
  <si>
    <t>Timer</t>
    <phoneticPr fontId="1" type="noConversion"/>
  </si>
  <si>
    <t>时间</t>
    <phoneticPr fontId="1" type="noConversion"/>
  </si>
  <si>
    <t>功能</t>
    <phoneticPr fontId="1" type="noConversion"/>
  </si>
  <si>
    <t>振动频率控制</t>
    <phoneticPr fontId="1" type="noConversion"/>
  </si>
  <si>
    <t>OLED显示</t>
    <phoneticPr fontId="1" type="noConversion"/>
  </si>
  <si>
    <t>扫频控制</t>
    <phoneticPr fontId="1" type="noConversion"/>
  </si>
  <si>
    <t>按键扫描+高频PWM输入</t>
    <phoneticPr fontId="1" type="noConversion"/>
  </si>
  <si>
    <t>准备挪到PA15</t>
    <phoneticPr fontId="1" type="noConversion"/>
  </si>
  <si>
    <t>准备挪到PA8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</si>
</sst>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]0.##,,&quot;M&quot;;[&gt;=1000]0.##,&quot;k&quot;;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tabSelected="1" zoomScale="130" zoomScaleNormal="130" workbookViewId="0">
      <pane ySplit="1" topLeftCell="A2" activePane="bottomLeft" state="frozen"/>
      <selection pane="bottomLeft" activeCell="N21" sqref="N21"/>
    </sheetView>
  </sheetViews>
  <sheetFormatPr defaultRowHeight="14.25" x14ac:dyDescent="0.2"/>
  <cols>
    <col min="1" max="1" width="6.125" style="1" bestFit="1" customWidth="1"/>
    <col min="2" max="2" width="4.625" style="1" bestFit="1" customWidth="1"/>
    <col min="3" max="3" width="14.375" style="1" bestFit="1" customWidth="1"/>
    <col min="4" max="4" width="14.75" style="1" bestFit="1" customWidth="1"/>
    <col min="5" max="5" width="13.625" style="1" bestFit="1" customWidth="1"/>
    <col min="6" max="6" width="6.625" style="1" bestFit="1" customWidth="1"/>
    <col min="7" max="7" width="9.25" style="1" bestFit="1" customWidth="1"/>
    <col min="8" max="8" width="15" style="1" bestFit="1" customWidth="1"/>
    <col min="9" max="10" width="7.75" style="1" bestFit="1" customWidth="1"/>
    <col min="11" max="11" width="9.25" style="1" bestFit="1" customWidth="1"/>
    <col min="12" max="12" width="15" style="1" bestFit="1" customWidth="1"/>
    <col min="13" max="14" width="7.75" style="1" bestFit="1" customWidth="1"/>
    <col min="15" max="15" width="23.5" style="1" bestFit="1" customWidth="1"/>
    <col min="16" max="16384" width="9" style="1"/>
  </cols>
  <sheetData>
    <row r="1" spans="1:15" s="4" customFormat="1" x14ac:dyDescent="0.2">
      <c r="A1" s="5" t="s">
        <v>5</v>
      </c>
      <c r="B1" s="5" t="s">
        <v>6</v>
      </c>
      <c r="C1" s="5" t="s">
        <v>7</v>
      </c>
      <c r="D1" s="5" t="s">
        <v>9</v>
      </c>
      <c r="F1" s="5" t="s">
        <v>65</v>
      </c>
      <c r="G1" s="5" t="s">
        <v>63</v>
      </c>
      <c r="H1" s="5" t="s">
        <v>64</v>
      </c>
      <c r="I1" s="9">
        <v>72000000</v>
      </c>
      <c r="J1" s="5" t="s">
        <v>66</v>
      </c>
      <c r="K1" s="5" t="s">
        <v>63</v>
      </c>
      <c r="L1" s="5" t="s">
        <v>64</v>
      </c>
      <c r="M1" s="9">
        <v>168000000</v>
      </c>
      <c r="N1" s="5" t="s">
        <v>66</v>
      </c>
      <c r="O1" s="5" t="s">
        <v>67</v>
      </c>
    </row>
    <row r="2" spans="1:15" x14ac:dyDescent="0.2">
      <c r="A2" s="23" t="s">
        <v>0</v>
      </c>
      <c r="B2" s="3">
        <v>0</v>
      </c>
      <c r="C2" s="6" t="s">
        <v>4</v>
      </c>
      <c r="D2" s="24"/>
      <c r="F2" s="10" t="s">
        <v>49</v>
      </c>
      <c r="G2" s="11">
        <v>72</v>
      </c>
      <c r="H2" s="11">
        <v>10</v>
      </c>
      <c r="I2" s="12">
        <f>$I$1/(G2*H2)</f>
        <v>100000</v>
      </c>
      <c r="J2" s="13" t="str">
        <f>_xlfn.LET(_xlpm.t,1/I2,
 IF(_xlpm.t&lt;0.000001, TEXT(_xlpm.t*1000000000,"0.###")&amp;" ns",
 IF(_xlpm.t&lt;0.001, TEXT(_xlpm.t*1000000,"0.###")&amp;" µs",
 IF(_xlpm.t&lt;1,    TEXT(_xlpm.t*1000,"0.###")&amp;" ms",
           TEXT(_xlpm.t,"0.###")&amp;" s"))))</f>
        <v>10. µs</v>
      </c>
      <c r="K2" s="10">
        <v>168</v>
      </c>
      <c r="L2" s="12">
        <v>10</v>
      </c>
      <c r="M2" s="12">
        <f>$M$1/(K2*L2)</f>
        <v>100000</v>
      </c>
      <c r="N2" s="13" t="str">
        <f>_xlfn.LET(_xlpm.t,1/M2,
 IF(_xlpm.t&lt;0.000001, TEXT(_xlpm.t*1000000000,"0.###")&amp;" ns",
 IF(_xlpm.t&lt;0.001, TEXT(_xlpm.t*1000000,"0.###")&amp;" µs",
 IF(_xlpm.t&lt;1,    TEXT(_xlpm.t*1000,"0.###")&amp;" ms",
           TEXT(_xlpm.t,"0.###")&amp;" s"))))</f>
        <v>10. µs</v>
      </c>
      <c r="O2" s="21" t="s">
        <v>68</v>
      </c>
    </row>
    <row r="3" spans="1:15" x14ac:dyDescent="0.2">
      <c r="A3" s="23"/>
      <c r="B3" s="3">
        <v>1</v>
      </c>
      <c r="C3" s="24"/>
      <c r="D3" s="6" t="s">
        <v>48</v>
      </c>
      <c r="F3" s="14" t="s">
        <v>50</v>
      </c>
      <c r="G3" s="1">
        <v>288</v>
      </c>
      <c r="H3" s="1">
        <v>50</v>
      </c>
      <c r="I3" s="15">
        <f t="shared" ref="I3:I15" si="0">$I$1/(G3*H3)</f>
        <v>5000</v>
      </c>
      <c r="J3" s="16" t="str">
        <f t="shared" ref="J3:J15" si="1">_xlfn.LET(_xlpm.t,1/I3,
 IF(_xlpm.t&lt;0.000001, TEXT(_xlpm.t*1000000000,"0.###")&amp;" ns",
 IF(_xlpm.t&lt;0.001, TEXT(_xlpm.t*1000000,"0.###")&amp;" µs",
 IF(_xlpm.t&lt;1,    TEXT(_xlpm.t*1000,"0.###")&amp;" ms",
           TEXT(_xlpm.t,"0.###")&amp;" s"))))</f>
        <v>200. µs</v>
      </c>
      <c r="K3" s="14">
        <v>672</v>
      </c>
      <c r="L3" s="15">
        <v>50</v>
      </c>
      <c r="M3" s="15">
        <f t="shared" ref="M3:M15" si="2">$M$1/(K3*L3)</f>
        <v>5000</v>
      </c>
      <c r="N3" s="16" t="str">
        <f t="shared" ref="N3:N15" si="3">_xlfn.LET(_xlpm.t,1/M3,
 IF(_xlpm.t&lt;0.000001, TEXT(_xlpm.t*1000000000,"0.###")&amp;" ns",
 IF(_xlpm.t&lt;0.001, TEXT(_xlpm.t*1000000,"0.###")&amp;" µs",
 IF(_xlpm.t&lt;1,    TEXT(_xlpm.t*1000,"0.###")&amp;" ms",
           TEXT(_xlpm.t,"0.###")&amp;" s"))))</f>
        <v>200. µs</v>
      </c>
      <c r="O3" s="21" t="s">
        <v>71</v>
      </c>
    </row>
    <row r="4" spans="1:15" x14ac:dyDescent="0.2">
      <c r="A4" s="23"/>
      <c r="B4" s="3">
        <v>2</v>
      </c>
      <c r="C4" s="24"/>
      <c r="D4" s="8" t="s">
        <v>43</v>
      </c>
      <c r="F4" s="14" t="s">
        <v>51</v>
      </c>
      <c r="G4" s="1">
        <v>7200</v>
      </c>
      <c r="H4" s="1">
        <v>1000</v>
      </c>
      <c r="I4" s="15">
        <f t="shared" si="0"/>
        <v>10</v>
      </c>
      <c r="J4" s="16" t="str">
        <f t="shared" si="1"/>
        <v>100. ms</v>
      </c>
      <c r="K4" s="14">
        <v>16800</v>
      </c>
      <c r="L4" s="15">
        <v>1000</v>
      </c>
      <c r="M4" s="15">
        <f t="shared" si="2"/>
        <v>10</v>
      </c>
      <c r="N4" s="16" t="str">
        <f t="shared" si="3"/>
        <v>100. ms</v>
      </c>
      <c r="O4" s="21" t="s">
        <v>69</v>
      </c>
    </row>
    <row r="5" spans="1:15" x14ac:dyDescent="0.2">
      <c r="A5" s="23"/>
      <c r="B5" s="3">
        <v>3</v>
      </c>
      <c r="C5" s="24"/>
      <c r="D5" s="8" t="s">
        <v>44</v>
      </c>
      <c r="F5" s="14" t="s">
        <v>52</v>
      </c>
      <c r="G5" s="1">
        <v>7200</v>
      </c>
      <c r="H5" s="1">
        <v>10</v>
      </c>
      <c r="I5" s="15">
        <f t="shared" si="0"/>
        <v>1000</v>
      </c>
      <c r="J5" s="16" t="str">
        <f t="shared" si="1"/>
        <v>1. ms</v>
      </c>
      <c r="K5" s="14">
        <v>16800</v>
      </c>
      <c r="L5" s="15">
        <v>10</v>
      </c>
      <c r="M5" s="15">
        <f t="shared" si="2"/>
        <v>1000</v>
      </c>
      <c r="N5" s="16" t="str">
        <f t="shared" si="3"/>
        <v>1. ms</v>
      </c>
      <c r="O5" s="21" t="s">
        <v>70</v>
      </c>
    </row>
    <row r="6" spans="1:15" x14ac:dyDescent="0.2">
      <c r="A6" s="23"/>
      <c r="B6" s="3">
        <v>4</v>
      </c>
      <c r="C6" s="7" t="s">
        <v>22</v>
      </c>
      <c r="D6" s="2" t="s">
        <v>45</v>
      </c>
      <c r="E6" s="1" t="s">
        <v>73</v>
      </c>
      <c r="F6" s="14" t="s">
        <v>53</v>
      </c>
      <c r="I6" s="15" t="e">
        <f t="shared" si="0"/>
        <v>#DIV/0!</v>
      </c>
      <c r="J6" s="16" t="e">
        <f t="shared" si="1"/>
        <v>#DIV/0!</v>
      </c>
      <c r="K6" s="14"/>
      <c r="L6" s="15"/>
      <c r="M6" s="15" t="e">
        <f t="shared" si="2"/>
        <v>#DIV/0!</v>
      </c>
      <c r="N6" s="16" t="e">
        <f t="shared" si="3"/>
        <v>#DIV/0!</v>
      </c>
      <c r="O6" s="21"/>
    </row>
    <row r="7" spans="1:15" x14ac:dyDescent="0.2">
      <c r="A7" s="23"/>
      <c r="B7" s="3">
        <v>5</v>
      </c>
      <c r="C7" s="7" t="s">
        <v>23</v>
      </c>
      <c r="D7" s="2" t="s">
        <v>47</v>
      </c>
      <c r="E7" s="1" t="s">
        <v>72</v>
      </c>
      <c r="F7" s="14" t="s">
        <v>54</v>
      </c>
      <c r="I7" s="15" t="e">
        <f t="shared" si="0"/>
        <v>#DIV/0!</v>
      </c>
      <c r="J7" s="16" t="e">
        <f t="shared" si="1"/>
        <v>#DIV/0!</v>
      </c>
      <c r="K7" s="14"/>
      <c r="L7" s="15"/>
      <c r="M7" s="15" t="e">
        <f t="shared" si="2"/>
        <v>#DIV/0!</v>
      </c>
      <c r="N7" s="16" t="e">
        <f t="shared" si="3"/>
        <v>#DIV/0!</v>
      </c>
      <c r="O7" s="21"/>
    </row>
    <row r="8" spans="1:15" x14ac:dyDescent="0.2">
      <c r="A8" s="23"/>
      <c r="B8" s="3">
        <v>6</v>
      </c>
      <c r="C8" s="7" t="s">
        <v>24</v>
      </c>
      <c r="D8" s="2"/>
      <c r="F8" s="14" t="s">
        <v>55</v>
      </c>
      <c r="I8" s="15" t="e">
        <f t="shared" si="0"/>
        <v>#DIV/0!</v>
      </c>
      <c r="J8" s="16" t="e">
        <f t="shared" si="1"/>
        <v>#DIV/0!</v>
      </c>
      <c r="K8" s="14"/>
      <c r="L8" s="15"/>
      <c r="M8" s="15" t="e">
        <f t="shared" si="2"/>
        <v>#DIV/0!</v>
      </c>
      <c r="N8" s="16" t="e">
        <f t="shared" si="3"/>
        <v>#DIV/0!</v>
      </c>
      <c r="O8" s="21"/>
    </row>
    <row r="9" spans="1:15" x14ac:dyDescent="0.2">
      <c r="A9" s="23"/>
      <c r="B9" s="3">
        <v>7</v>
      </c>
      <c r="C9" s="7" t="s">
        <v>25</v>
      </c>
      <c r="D9" s="2"/>
      <c r="F9" s="14" t="s">
        <v>56</v>
      </c>
      <c r="I9" s="15" t="e">
        <f t="shared" si="0"/>
        <v>#DIV/0!</v>
      </c>
      <c r="J9" s="16" t="e">
        <f t="shared" si="1"/>
        <v>#DIV/0!</v>
      </c>
      <c r="K9" s="14"/>
      <c r="L9" s="15"/>
      <c r="M9" s="15" t="e">
        <f t="shared" si="2"/>
        <v>#DIV/0!</v>
      </c>
      <c r="N9" s="16" t="e">
        <f t="shared" si="3"/>
        <v>#DIV/0!</v>
      </c>
      <c r="O9" s="21"/>
    </row>
    <row r="10" spans="1:15" x14ac:dyDescent="0.2">
      <c r="A10" s="23"/>
      <c r="B10" s="3">
        <v>8</v>
      </c>
      <c r="C10" s="2"/>
      <c r="D10" s="2"/>
      <c r="F10" s="14" t="s">
        <v>57</v>
      </c>
      <c r="I10" s="15" t="e">
        <f t="shared" si="0"/>
        <v>#DIV/0!</v>
      </c>
      <c r="J10" s="16" t="e">
        <f t="shared" si="1"/>
        <v>#DIV/0!</v>
      </c>
      <c r="K10" s="14"/>
      <c r="M10" s="15" t="e">
        <f t="shared" si="2"/>
        <v>#DIV/0!</v>
      </c>
      <c r="N10" s="16" t="e">
        <f t="shared" si="3"/>
        <v>#DIV/0!</v>
      </c>
      <c r="O10" s="21"/>
    </row>
    <row r="11" spans="1:15" x14ac:dyDescent="0.2">
      <c r="A11" s="23"/>
      <c r="B11" s="2">
        <v>9</v>
      </c>
      <c r="C11" s="2" t="s">
        <v>15</v>
      </c>
      <c r="D11" s="2"/>
      <c r="F11" s="14" t="s">
        <v>58</v>
      </c>
      <c r="I11" s="15" t="e">
        <f t="shared" si="0"/>
        <v>#DIV/0!</v>
      </c>
      <c r="J11" s="16" t="e">
        <f t="shared" si="1"/>
        <v>#DIV/0!</v>
      </c>
      <c r="K11" s="14"/>
      <c r="L11" s="15"/>
      <c r="M11" s="15" t="e">
        <f t="shared" si="2"/>
        <v>#DIV/0!</v>
      </c>
      <c r="N11" s="16" t="e">
        <f t="shared" si="3"/>
        <v>#DIV/0!</v>
      </c>
      <c r="O11" s="21"/>
    </row>
    <row r="12" spans="1:15" x14ac:dyDescent="0.2">
      <c r="A12" s="23"/>
      <c r="B12" s="2">
        <v>10</v>
      </c>
      <c r="C12" s="2" t="s">
        <v>16</v>
      </c>
      <c r="D12" s="2"/>
      <c r="F12" s="14" t="s">
        <v>59</v>
      </c>
      <c r="I12" s="15" t="e">
        <f t="shared" si="0"/>
        <v>#DIV/0!</v>
      </c>
      <c r="J12" s="16" t="e">
        <f t="shared" si="1"/>
        <v>#DIV/0!</v>
      </c>
      <c r="K12" s="14"/>
      <c r="L12" s="15"/>
      <c r="M12" s="15" t="e">
        <f t="shared" si="2"/>
        <v>#DIV/0!</v>
      </c>
      <c r="N12" s="16" t="e">
        <f t="shared" si="3"/>
        <v>#DIV/0!</v>
      </c>
      <c r="O12" s="21"/>
    </row>
    <row r="13" spans="1:15" x14ac:dyDescent="0.2">
      <c r="A13" s="23"/>
      <c r="B13" s="2">
        <v>11</v>
      </c>
      <c r="C13" s="2" t="s">
        <v>17</v>
      </c>
      <c r="D13" s="2"/>
      <c r="F13" s="14" t="s">
        <v>60</v>
      </c>
      <c r="I13" s="15" t="e">
        <f t="shared" si="0"/>
        <v>#DIV/0!</v>
      </c>
      <c r="J13" s="16" t="e">
        <f t="shared" si="1"/>
        <v>#DIV/0!</v>
      </c>
      <c r="K13" s="14"/>
      <c r="L13" s="15"/>
      <c r="M13" s="15" t="e">
        <f t="shared" si="2"/>
        <v>#DIV/0!</v>
      </c>
      <c r="N13" s="16" t="e">
        <f t="shared" si="3"/>
        <v>#DIV/0!</v>
      </c>
      <c r="O13" s="21"/>
    </row>
    <row r="14" spans="1:15" x14ac:dyDescent="0.2">
      <c r="A14" s="23"/>
      <c r="B14" s="2">
        <v>12</v>
      </c>
      <c r="C14" s="2" t="s">
        <v>18</v>
      </c>
      <c r="D14" s="2"/>
      <c r="F14" s="14" t="s">
        <v>61</v>
      </c>
      <c r="I14" s="15" t="e">
        <f t="shared" si="0"/>
        <v>#DIV/0!</v>
      </c>
      <c r="J14" s="16" t="e">
        <f t="shared" si="1"/>
        <v>#DIV/0!</v>
      </c>
      <c r="K14" s="14"/>
      <c r="L14" s="15"/>
      <c r="M14" s="15" t="e">
        <f t="shared" si="2"/>
        <v>#DIV/0!</v>
      </c>
      <c r="N14" s="16" t="e">
        <f t="shared" si="3"/>
        <v>#DIV/0!</v>
      </c>
      <c r="O14" s="21"/>
    </row>
    <row r="15" spans="1:15" x14ac:dyDescent="0.2">
      <c r="A15" s="23"/>
      <c r="B15" s="2">
        <v>13</v>
      </c>
      <c r="C15" s="6" t="s">
        <v>19</v>
      </c>
      <c r="D15" s="24"/>
      <c r="F15" s="17" t="s">
        <v>62</v>
      </c>
      <c r="G15" s="18"/>
      <c r="H15" s="18"/>
      <c r="I15" s="19" t="e">
        <f t="shared" si="0"/>
        <v>#DIV/0!</v>
      </c>
      <c r="J15" s="20" t="e">
        <f t="shared" si="1"/>
        <v>#DIV/0!</v>
      </c>
      <c r="K15" s="17"/>
      <c r="L15" s="19"/>
      <c r="M15" s="19" t="e">
        <f t="shared" si="2"/>
        <v>#DIV/0!</v>
      </c>
      <c r="N15" s="20" t="e">
        <f t="shared" si="3"/>
        <v>#DIV/0!</v>
      </c>
      <c r="O15" s="22"/>
    </row>
    <row r="16" spans="1:15" x14ac:dyDescent="0.2">
      <c r="A16" s="23"/>
      <c r="B16" s="2">
        <v>14</v>
      </c>
      <c r="C16" s="8" t="s">
        <v>20</v>
      </c>
      <c r="D16" s="24"/>
    </row>
    <row r="17" spans="1:4" x14ac:dyDescent="0.2">
      <c r="A17" s="23"/>
      <c r="B17" s="3">
        <v>15</v>
      </c>
      <c r="C17" s="2"/>
      <c r="D17" s="2"/>
    </row>
    <row r="18" spans="1:4" x14ac:dyDescent="0.2">
      <c r="A18" s="23" t="s">
        <v>1</v>
      </c>
      <c r="B18" s="3">
        <v>0</v>
      </c>
      <c r="C18" s="2"/>
      <c r="D18" s="2"/>
    </row>
    <row r="19" spans="1:4" x14ac:dyDescent="0.2">
      <c r="A19" s="23"/>
      <c r="B19" s="3">
        <v>1</v>
      </c>
      <c r="C19" s="2"/>
      <c r="D19" s="2"/>
    </row>
    <row r="20" spans="1:4" x14ac:dyDescent="0.2">
      <c r="A20" s="23"/>
      <c r="B20" s="2">
        <v>2</v>
      </c>
      <c r="C20" s="6" t="s">
        <v>46</v>
      </c>
      <c r="D20" s="24"/>
    </row>
    <row r="21" spans="1:4" x14ac:dyDescent="0.2">
      <c r="A21" s="23"/>
      <c r="B21" s="2">
        <v>3</v>
      </c>
      <c r="C21" s="2" t="s">
        <v>21</v>
      </c>
      <c r="D21" s="2"/>
    </row>
    <row r="22" spans="1:4" x14ac:dyDescent="0.2">
      <c r="A22" s="23"/>
      <c r="B22" s="3">
        <v>4</v>
      </c>
      <c r="C22" s="2"/>
      <c r="D22" s="2"/>
    </row>
    <row r="23" spans="1:4" x14ac:dyDescent="0.2">
      <c r="A23" s="23"/>
      <c r="B23" s="3">
        <v>5</v>
      </c>
      <c r="C23" s="2"/>
      <c r="D23" s="2"/>
    </row>
    <row r="24" spans="1:4" x14ac:dyDescent="0.2">
      <c r="A24" s="23"/>
      <c r="B24" s="3">
        <v>6</v>
      </c>
      <c r="C24" s="24"/>
      <c r="D24" s="24" t="s">
        <v>36</v>
      </c>
    </row>
    <row r="25" spans="1:4" x14ac:dyDescent="0.2">
      <c r="A25" s="23"/>
      <c r="B25" s="3">
        <v>7</v>
      </c>
      <c r="C25" s="24"/>
      <c r="D25" s="24" t="s">
        <v>37</v>
      </c>
    </row>
    <row r="26" spans="1:4" x14ac:dyDescent="0.2">
      <c r="A26" s="23"/>
      <c r="B26" s="3">
        <v>8</v>
      </c>
      <c r="C26" s="24"/>
      <c r="D26" s="24"/>
    </row>
    <row r="27" spans="1:4" x14ac:dyDescent="0.2">
      <c r="A27" s="23"/>
      <c r="B27" s="3">
        <v>9</v>
      </c>
      <c r="C27" s="24"/>
      <c r="D27" s="24"/>
    </row>
    <row r="28" spans="1:4" x14ac:dyDescent="0.2">
      <c r="A28" s="23"/>
      <c r="B28" s="3">
        <v>10</v>
      </c>
      <c r="C28" s="24"/>
      <c r="D28" s="24" t="s">
        <v>41</v>
      </c>
    </row>
    <row r="29" spans="1:4" x14ac:dyDescent="0.2">
      <c r="A29" s="23"/>
      <c r="B29" s="3">
        <v>11</v>
      </c>
      <c r="C29" s="24"/>
      <c r="D29" s="24" t="s">
        <v>42</v>
      </c>
    </row>
    <row r="30" spans="1:4" x14ac:dyDescent="0.2">
      <c r="A30" s="23"/>
      <c r="B30" s="3">
        <v>12</v>
      </c>
      <c r="C30" s="24"/>
      <c r="D30" s="24" t="s">
        <v>35</v>
      </c>
    </row>
    <row r="31" spans="1:4" x14ac:dyDescent="0.2">
      <c r="A31" s="23"/>
      <c r="B31" s="3">
        <v>13</v>
      </c>
      <c r="C31" s="24"/>
      <c r="D31" s="24" t="s">
        <v>38</v>
      </c>
    </row>
    <row r="32" spans="1:4" x14ac:dyDescent="0.2">
      <c r="A32" s="23"/>
      <c r="B32" s="3">
        <v>14</v>
      </c>
      <c r="C32" s="24"/>
      <c r="D32" s="24" t="s">
        <v>39</v>
      </c>
    </row>
    <row r="33" spans="1:4" x14ac:dyDescent="0.2">
      <c r="A33" s="23"/>
      <c r="B33" s="3">
        <v>15</v>
      </c>
      <c r="C33" s="24"/>
      <c r="D33" s="24" t="s">
        <v>40</v>
      </c>
    </row>
    <row r="34" spans="1:4" x14ac:dyDescent="0.2">
      <c r="A34" s="23" t="s">
        <v>2</v>
      </c>
      <c r="B34" s="3">
        <v>0</v>
      </c>
      <c r="C34" s="2"/>
      <c r="D34" s="2"/>
    </row>
    <row r="35" spans="1:4" x14ac:dyDescent="0.2">
      <c r="A35" s="23"/>
      <c r="B35" s="3">
        <v>1</v>
      </c>
      <c r="C35" s="2"/>
      <c r="D35" s="2"/>
    </row>
    <row r="36" spans="1:4" x14ac:dyDescent="0.2">
      <c r="A36" s="23"/>
      <c r="B36" s="3">
        <v>2</v>
      </c>
      <c r="C36" s="2"/>
      <c r="D36" s="2"/>
    </row>
    <row r="37" spans="1:4" x14ac:dyDescent="0.2">
      <c r="A37" s="23"/>
      <c r="B37" s="3">
        <v>3</v>
      </c>
      <c r="C37" s="2"/>
      <c r="D37" s="2"/>
    </row>
    <row r="38" spans="1:4" x14ac:dyDescent="0.2">
      <c r="A38" s="23"/>
      <c r="B38" s="3">
        <v>4</v>
      </c>
      <c r="C38" s="2"/>
      <c r="D38" s="2"/>
    </row>
    <row r="39" spans="1:4" x14ac:dyDescent="0.2">
      <c r="A39" s="23"/>
      <c r="B39" s="3">
        <v>5</v>
      </c>
      <c r="C39" s="2"/>
      <c r="D39" s="2"/>
    </row>
    <row r="40" spans="1:4" x14ac:dyDescent="0.2">
      <c r="A40" s="23"/>
      <c r="B40" s="3">
        <v>6</v>
      </c>
      <c r="C40" s="2"/>
      <c r="D40" s="2"/>
    </row>
    <row r="41" spans="1:4" x14ac:dyDescent="0.2">
      <c r="A41" s="23"/>
      <c r="B41" s="3">
        <v>7</v>
      </c>
      <c r="C41" s="2"/>
      <c r="D41" s="2"/>
    </row>
    <row r="42" spans="1:4" x14ac:dyDescent="0.2">
      <c r="A42" s="23"/>
      <c r="B42" s="3">
        <v>8</v>
      </c>
      <c r="C42" s="7" t="s">
        <v>26</v>
      </c>
      <c r="D42" s="2"/>
    </row>
    <row r="43" spans="1:4" x14ac:dyDescent="0.2">
      <c r="A43" s="23"/>
      <c r="B43" s="3">
        <v>9</v>
      </c>
      <c r="C43" s="7" t="s">
        <v>30</v>
      </c>
      <c r="D43" s="2"/>
    </row>
    <row r="44" spans="1:4" x14ac:dyDescent="0.2">
      <c r="A44" s="23"/>
      <c r="B44" s="3">
        <v>10</v>
      </c>
      <c r="C44" s="7" t="s">
        <v>31</v>
      </c>
      <c r="D44" s="2"/>
    </row>
    <row r="45" spans="1:4" x14ac:dyDescent="0.2">
      <c r="A45" s="23"/>
      <c r="B45" s="3">
        <v>11</v>
      </c>
      <c r="C45" s="7" t="s">
        <v>32</v>
      </c>
      <c r="D45" s="2"/>
    </row>
    <row r="46" spans="1:4" x14ac:dyDescent="0.2">
      <c r="A46" s="23"/>
      <c r="B46" s="3">
        <v>12</v>
      </c>
      <c r="C46" s="7" t="s">
        <v>27</v>
      </c>
      <c r="D46" s="2"/>
    </row>
    <row r="47" spans="1:4" x14ac:dyDescent="0.2">
      <c r="A47" s="23"/>
      <c r="B47" s="3">
        <v>13</v>
      </c>
      <c r="C47" s="2"/>
      <c r="D47" s="2"/>
    </row>
    <row r="48" spans="1:4" x14ac:dyDescent="0.2">
      <c r="A48" s="23"/>
      <c r="B48" s="2">
        <v>14</v>
      </c>
      <c r="C48" s="6" t="s">
        <v>13</v>
      </c>
      <c r="D48" s="8"/>
    </row>
    <row r="49" spans="1:4" x14ac:dyDescent="0.2">
      <c r="A49" s="23"/>
      <c r="B49" s="2">
        <v>15</v>
      </c>
      <c r="C49" s="8" t="s">
        <v>14</v>
      </c>
      <c r="D49" s="8"/>
    </row>
    <row r="50" spans="1:4" x14ac:dyDescent="0.2">
      <c r="A50" s="23" t="s">
        <v>3</v>
      </c>
      <c r="B50" s="3">
        <v>0</v>
      </c>
      <c r="C50" s="8"/>
      <c r="D50" s="8" t="s">
        <v>33</v>
      </c>
    </row>
    <row r="51" spans="1:4" x14ac:dyDescent="0.2">
      <c r="A51" s="23"/>
      <c r="B51" s="3">
        <v>1</v>
      </c>
      <c r="C51" s="8"/>
      <c r="D51" s="8" t="s">
        <v>34</v>
      </c>
    </row>
    <row r="52" spans="1:4" x14ac:dyDescent="0.2">
      <c r="A52" s="23"/>
      <c r="B52" s="3">
        <v>2</v>
      </c>
      <c r="C52" s="7" t="s">
        <v>28</v>
      </c>
      <c r="D52" s="2"/>
    </row>
    <row r="53" spans="1:4" x14ac:dyDescent="0.2">
      <c r="A53" s="23"/>
      <c r="B53" s="3">
        <v>3</v>
      </c>
      <c r="C53" s="7" t="s">
        <v>29</v>
      </c>
      <c r="D53" s="2"/>
    </row>
    <row r="54" spans="1:4" x14ac:dyDescent="0.2">
      <c r="A54" s="23"/>
      <c r="B54" s="3">
        <v>4</v>
      </c>
      <c r="C54" s="2"/>
      <c r="D54" s="2"/>
    </row>
    <row r="55" spans="1:4" x14ac:dyDescent="0.2">
      <c r="A55" s="23"/>
      <c r="B55" s="3">
        <v>5</v>
      </c>
      <c r="C55" s="2"/>
      <c r="D55" s="2"/>
    </row>
    <row r="56" spans="1:4" x14ac:dyDescent="0.2">
      <c r="A56" s="23"/>
      <c r="B56" s="3">
        <v>6</v>
      </c>
      <c r="C56" s="2"/>
      <c r="D56" s="2"/>
    </row>
    <row r="57" spans="1:4" x14ac:dyDescent="0.2">
      <c r="A57" s="23"/>
      <c r="B57" s="3">
        <v>7</v>
      </c>
      <c r="C57" s="2"/>
      <c r="D57" s="2"/>
    </row>
    <row r="58" spans="1:4" x14ac:dyDescent="0.2">
      <c r="A58" s="23"/>
      <c r="B58" s="3">
        <v>8</v>
      </c>
      <c r="C58" s="2"/>
      <c r="D58" s="2"/>
    </row>
    <row r="59" spans="1:4" x14ac:dyDescent="0.2">
      <c r="A59" s="23"/>
      <c r="B59" s="3">
        <v>9</v>
      </c>
      <c r="C59" s="2"/>
      <c r="D59" s="2"/>
    </row>
    <row r="60" spans="1:4" x14ac:dyDescent="0.2">
      <c r="A60" s="23"/>
      <c r="B60" s="3">
        <v>10</v>
      </c>
      <c r="C60" s="2"/>
      <c r="D60" s="2"/>
    </row>
    <row r="61" spans="1:4" x14ac:dyDescent="0.2">
      <c r="A61" s="23"/>
      <c r="B61" s="3">
        <v>11</v>
      </c>
      <c r="C61" s="2"/>
      <c r="D61" s="2"/>
    </row>
    <row r="62" spans="1:4" x14ac:dyDescent="0.2">
      <c r="A62" s="23"/>
      <c r="B62" s="3">
        <v>12</v>
      </c>
      <c r="C62" s="2"/>
      <c r="D62" s="2"/>
    </row>
    <row r="63" spans="1:4" x14ac:dyDescent="0.2">
      <c r="A63" s="23"/>
      <c r="B63" s="3">
        <v>13</v>
      </c>
      <c r="C63" s="2"/>
      <c r="D63" s="2"/>
    </row>
    <row r="64" spans="1:4" x14ac:dyDescent="0.2">
      <c r="A64" s="23"/>
      <c r="B64" s="3">
        <v>14</v>
      </c>
      <c r="C64" s="2"/>
      <c r="D64" s="2"/>
    </row>
    <row r="65" spans="1:4" x14ac:dyDescent="0.2">
      <c r="A65" s="23"/>
      <c r="B65" s="3">
        <v>15</v>
      </c>
      <c r="C65" s="2"/>
      <c r="D65" s="2"/>
    </row>
    <row r="66" spans="1:4" x14ac:dyDescent="0.2">
      <c r="A66" s="23" t="s">
        <v>8</v>
      </c>
      <c r="B66" s="3">
        <v>0</v>
      </c>
      <c r="C66" s="2"/>
      <c r="D66" s="2"/>
    </row>
    <row r="67" spans="1:4" x14ac:dyDescent="0.2">
      <c r="A67" s="23"/>
      <c r="B67" s="3">
        <v>1</v>
      </c>
      <c r="C67" s="2"/>
      <c r="D67" s="2"/>
    </row>
    <row r="68" spans="1:4" x14ac:dyDescent="0.2">
      <c r="A68" s="23"/>
      <c r="B68" s="3">
        <v>2</v>
      </c>
      <c r="C68" s="2"/>
      <c r="D68" s="2"/>
    </row>
    <row r="69" spans="1:4" x14ac:dyDescent="0.2">
      <c r="A69" s="23"/>
      <c r="B69" s="3">
        <v>3</v>
      </c>
      <c r="C69" s="2"/>
      <c r="D69" s="2"/>
    </row>
    <row r="70" spans="1:4" x14ac:dyDescent="0.2">
      <c r="A70" s="23"/>
      <c r="B70" s="3">
        <v>4</v>
      </c>
      <c r="C70" s="2"/>
      <c r="D70" s="2"/>
    </row>
    <row r="71" spans="1:4" x14ac:dyDescent="0.2">
      <c r="A71" s="23"/>
      <c r="B71" s="3">
        <v>5</v>
      </c>
      <c r="C71" s="2"/>
      <c r="D71" s="2"/>
    </row>
    <row r="72" spans="1:4" x14ac:dyDescent="0.2">
      <c r="A72" s="23"/>
      <c r="B72" s="3">
        <v>6</v>
      </c>
      <c r="C72" s="2"/>
      <c r="D72" s="2"/>
    </row>
    <row r="73" spans="1:4" x14ac:dyDescent="0.2">
      <c r="A73" s="23"/>
      <c r="B73" s="3">
        <v>7</v>
      </c>
      <c r="C73" s="2"/>
      <c r="D73" s="2"/>
    </row>
    <row r="74" spans="1:4" x14ac:dyDescent="0.2">
      <c r="A74" s="23"/>
      <c r="B74" s="3">
        <v>8</v>
      </c>
      <c r="C74" s="2"/>
      <c r="D74" s="2"/>
    </row>
    <row r="75" spans="1:4" x14ac:dyDescent="0.2">
      <c r="A75" s="23"/>
      <c r="B75" s="3">
        <v>9</v>
      </c>
      <c r="C75" s="2"/>
      <c r="D75" s="2"/>
    </row>
    <row r="76" spans="1:4" x14ac:dyDescent="0.2">
      <c r="A76" s="23"/>
      <c r="B76" s="3">
        <v>10</v>
      </c>
      <c r="C76" s="2"/>
      <c r="D76" s="2"/>
    </row>
    <row r="77" spans="1:4" x14ac:dyDescent="0.2">
      <c r="A77" s="23"/>
      <c r="B77" s="3">
        <v>11</v>
      </c>
      <c r="C77" s="2"/>
      <c r="D77" s="2"/>
    </row>
    <row r="78" spans="1:4" x14ac:dyDescent="0.2">
      <c r="A78" s="23"/>
      <c r="B78" s="3">
        <v>12</v>
      </c>
      <c r="C78" s="2"/>
      <c r="D78" s="2"/>
    </row>
    <row r="79" spans="1:4" x14ac:dyDescent="0.2">
      <c r="A79" s="23"/>
      <c r="B79" s="3">
        <v>13</v>
      </c>
      <c r="C79" s="2"/>
      <c r="D79" s="2"/>
    </row>
    <row r="80" spans="1:4" x14ac:dyDescent="0.2">
      <c r="A80" s="23"/>
      <c r="B80" s="3">
        <v>14</v>
      </c>
      <c r="C80" s="2"/>
      <c r="D80" s="2"/>
    </row>
    <row r="81" spans="1:4" x14ac:dyDescent="0.2">
      <c r="A81" s="23"/>
      <c r="B81" s="3">
        <v>15</v>
      </c>
      <c r="C81" s="2"/>
      <c r="D81" s="2"/>
    </row>
    <row r="82" spans="1:4" x14ac:dyDescent="0.2">
      <c r="A82" s="23" t="s">
        <v>10</v>
      </c>
      <c r="B82" s="2">
        <v>0</v>
      </c>
      <c r="C82" s="6" t="s">
        <v>11</v>
      </c>
      <c r="D82" s="24"/>
    </row>
    <row r="83" spans="1:4" x14ac:dyDescent="0.2">
      <c r="A83" s="23"/>
      <c r="B83" s="2">
        <v>1</v>
      </c>
      <c r="C83" s="6" t="s">
        <v>12</v>
      </c>
      <c r="D83" s="24"/>
    </row>
  </sheetData>
  <mergeCells count="6">
    <mergeCell ref="A2:A17"/>
    <mergeCell ref="A66:A81"/>
    <mergeCell ref="A82:A83"/>
    <mergeCell ref="A50:A65"/>
    <mergeCell ref="A34:A49"/>
    <mergeCell ref="A18:A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None of ur Business</dc:creator>
  <cp:lastModifiedBy>None of ur Business</cp:lastModifiedBy>
  <dcterms:created xsi:type="dcterms:W3CDTF">2015-06-05T18:19:34Z</dcterms:created>
  <dcterms:modified xsi:type="dcterms:W3CDTF">2026-01-23T15:50:54Z</dcterms:modified>
</cp:coreProperties>
</file>